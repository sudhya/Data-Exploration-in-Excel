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e8504e024ab6ed/Desktop/Assignment/"/>
    </mc:Choice>
  </mc:AlternateContent>
  <xr:revisionPtr revIDLastSave="230" documentId="8_{61BB93B8-D564-46FB-9992-0961124E8628}" xr6:coauthVersionLast="47" xr6:coauthVersionMax="47" xr10:uidLastSave="{0F3051FF-2430-40B2-87B3-8E1A0342AA75}"/>
  <bookViews>
    <workbookView xWindow="-108" yWindow="-108" windowWidth="23256" windowHeight="12456" xr2:uid="{FAF0B0A4-A5D0-49A9-8AE5-9D14BB583A8F}"/>
  </bookViews>
  <sheets>
    <sheet name="Sheet1" sheetId="1" r:id="rId1"/>
    <sheet name="Sheet2" sheetId="2" r:id="rId2"/>
  </sheets>
  <definedNames>
    <definedName name="_xlnm._FilterDatabase" localSheetId="1" hidden="1">Sheet2!$A$1:$G$35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" i="2"/>
  <c r="I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" i="2"/>
  <c r="H2" i="2"/>
  <c r="N20" i="2"/>
  <c r="N18" i="2"/>
  <c r="G35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" i="2"/>
  <c r="G2" i="2"/>
  <c r="N15" i="2"/>
  <c r="N13" i="2"/>
  <c r="N10" i="2"/>
  <c r="N8" i="2"/>
  <c r="N6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<sst xmlns="http://schemas.openxmlformats.org/spreadsheetml/2006/main" count="170" uniqueCount="121">
  <si>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</si>
  <si>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</si>
  <si>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</si>
  <si>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</si>
  <si>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</si>
  <si>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</si>
  <si>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</si>
  <si>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</si>
  <si>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</si>
  <si>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</si>
  <si>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</si>
  <si>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</si>
  <si>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</si>
  <si>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</si>
  <si>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</si>
  <si>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</si>
  <si>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</si>
  <si>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</si>
  <si>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</si>
  <si>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</si>
  <si>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</si>
  <si>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</si>
  <si>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</si>
  <si>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</si>
  <si>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</si>
  <si>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</si>
  <si>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</si>
  <si>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</si>
  <si>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</si>
  <si>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</si>
  <si>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</si>
  <si>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</si>
  <si>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</si>
  <si>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</si>
  <si>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</si>
  <si>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</si>
  <si>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</si>
  <si>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</si>
  <si>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</si>
  <si>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</si>
  <si>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</si>
  <si>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</si>
  <si>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</si>
  <si>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</si>
  <si>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</si>
  <si>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</si>
  <si>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</si>
  <si>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</si>
  <si>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</si>
  <si>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</si>
  <si>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</si>
  <si>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</si>
  <si>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</si>
  <si>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</si>
  <si>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</si>
  <si>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</si>
  <si>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</si>
  <si>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</si>
  <si>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</si>
  <si>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</si>
  <si>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</si>
  <si>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</si>
  <si>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</si>
  <si>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</si>
  <si>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</si>
  <si>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</si>
  <si>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</si>
  <si>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</si>
  <si>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</si>
  <si>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</si>
  <si>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</si>
  <si>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</si>
  <si>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</si>
  <si>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</si>
  <si>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</si>
  <si>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</si>
  <si>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</si>
  <si>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</si>
  <si>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</si>
  <si>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</si>
  <si>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</si>
  <si>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</si>
  <si>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</si>
  <si>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</si>
  <si>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</si>
  <si>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</si>
  <si>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</si>
  <si>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</si>
  <si>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</si>
  <si>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</si>
  <si>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</si>
  <si>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</si>
  <si>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</si>
  <si>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</si>
  <si>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</si>
  <si>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</si>
  <si>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</si>
  <si>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</si>
  <si>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</si>
  <si>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</si>
  <si>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</si>
  <si>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</si>
  <si>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</si>
  <si>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</si>
  <si>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</si>
  <si>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</si>
  <si>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</si>
  <si>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</si>
  <si>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</si>
  <si>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</si>
  <si>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</si>
  <si>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No. of Products in Datasets</t>
  </si>
  <si>
    <t>Average Price of the Products</t>
  </si>
  <si>
    <t>Minimum Price among all the products</t>
  </si>
  <si>
    <t>Maximum Price among all the products</t>
  </si>
  <si>
    <t>Price Range</t>
  </si>
  <si>
    <t>Total Price of products in Electronics</t>
  </si>
  <si>
    <t>No. of Products with the less price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</si>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</sst>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3" xfId="0" applyBorder="1"/>
    <xf numFmtId="0" fontId="1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2" borderId="1" xfId="0" applyFill="1" applyBorder="1"/>
    <xf numFmtId="0" fontId="1" fillId="2" borderId="2" xfId="0" applyFont="1" applyFill="1" applyBorder="1" applyAlignment="1">
      <alignment horizontal="center"/>
    </xf>
    <xf numFmtId="0" fontId="0" fillId="2" borderId="3" xfId="0" applyFill="1" applyBorder="1"/>
    <xf numFmtId="0" fontId="1" fillId="2" borderId="4" xfId="0" applyFont="1" applyFill="1" applyBorder="1" applyAlignment="1">
      <alignment horizontal="center"/>
    </xf>
    <xf numFmtId="0" fontId="0" fillId="2" borderId="5" xfId="0" applyFill="1" applyBorder="1"/>
    <xf numFmtId="2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D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5EEEB2-E8A6-4800-BB95-40ADE38B9700}" name="Table4" displayName="Table4" ref="A1:J35" totalsRowShown="0" headerRowDxfId="3">
  <autoFilter ref="A1:J35" xr:uid="{185EEEB2-E8A6-4800-BB95-40ADE38B9700}"/>
  <tableColumns count="10">
    <tableColumn id="1" xr3:uid="{E684D9A1-4254-4ABD-BF16-31300D0BD853}" name="Product ID"/>
    <tableColumn id="2" xr3:uid="{A4589474-D95B-48AA-9C23-5DC4D7CA8035}" name="Product Name"/>
    <tableColumn id="3" xr3:uid="{6102E98C-84AC-4657-9D03-5B91F915504B}" name="Brand Name"/>
    <tableColumn id="4" xr3:uid="{D73EBD11-6CB1-482F-8E57-5F8233204AE6}" name="Price ($)" dataDxfId="2"/>
    <tableColumn id="5" xr3:uid="{FEE66C69-BE3F-40D8-B43F-7D37C4B7DDF2}" name="Quantity" dataDxfId="1"/>
    <tableColumn id="6" xr3:uid="{449412DC-3A67-4070-9578-02EDB43E2CA9}" name="Category"/>
    <tableColumn id="7" xr3:uid="{E47D2E7A-C7CF-46C8-923F-E15063A116FA}" name="Price Range">
      <calculatedColumnFormula>IF(D2&gt;=500,"High Price",IF(D2&lt;500,"Standard Price"))</calculatedColumnFormula>
    </tableColumn>
    <tableColumn id="8" xr3:uid="{6EEBA5FB-2526-44A6-99B3-6512A5F59AFF}" name="Day" dataDxfId="0">
      <calculatedColumnFormula>LEFT(A2,2)</calculatedColumnFormula>
    </tableColumn>
    <tableColumn id="9" xr3:uid="{657C2687-021A-463E-8D6E-35A6761014A3}" name="Country Code">
      <calculatedColumnFormula>RIGHT(A2,2)</calculatedColumnFormula>
    </tableColumn>
    <tableColumn id="10" xr3:uid="{7366AFC8-E646-4062-A1FA-346E5453452B}" name="Month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E0DD-D7B7-4DED-9995-00308EF14F6E}">
  <dimension ref="A1:Z1000"/>
  <sheetViews>
    <sheetView tabSelected="1" workbookViewId="0">
      <selection activeCell="C24" sqref="C24"/>
    </sheetView>
  </sheetViews>
  <sheetFormatPr defaultRowHeight="14.4" x14ac:dyDescent="0.3"/>
  <sheetData>
    <row r="1" spans="1:2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" x14ac:dyDescent="0.3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 x14ac:dyDescent="0.3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 x14ac:dyDescent="0.3">
      <c r="A6" s="2"/>
      <c r="B6" s="2"/>
      <c r="C6" s="4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 x14ac:dyDescent="0.3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 x14ac:dyDescent="0.3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 x14ac:dyDescent="0.3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 x14ac:dyDescent="0.3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3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6" x14ac:dyDescent="0.3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6" x14ac:dyDescent="0.3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6" x14ac:dyDescent="0.3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" x14ac:dyDescent="0.3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" x14ac:dyDescent="0.3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6" x14ac:dyDescent="0.3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6" x14ac:dyDescent="0.3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AD9D-6882-481A-AD86-96BC857B7A48}">
  <dimension ref="A1:N35"/>
  <sheetViews>
    <sheetView topLeftCell="B1" workbookViewId="0">
      <selection activeCell="J2" sqref="J2"/>
    </sheetView>
  </sheetViews>
  <sheetFormatPr defaultRowHeight="14.4" x14ac:dyDescent="0.3"/>
  <cols>
    <col min="1" max="1" width="15.21875" bestFit="1" customWidth="1"/>
    <col min="2" max="2" width="18.77734375" bestFit="1" customWidth="1"/>
    <col min="3" max="3" width="16.88671875" bestFit="1" customWidth="1"/>
    <col min="4" max="4" width="13.109375" style="5" bestFit="1" customWidth="1"/>
    <col min="5" max="5" width="13.33203125" style="5" bestFit="1" customWidth="1"/>
    <col min="6" max="6" width="13.6640625" bestFit="1" customWidth="1"/>
    <col min="7" max="7" width="16.33203125" bestFit="1" customWidth="1"/>
    <col min="8" max="8" width="9" style="5" bestFit="1" customWidth="1"/>
    <col min="9" max="9" width="18.33203125" bestFit="1" customWidth="1"/>
    <col min="10" max="10" width="11.33203125" bestFit="1" customWidth="1"/>
    <col min="13" max="13" width="33.21875" bestFit="1" customWidth="1"/>
    <col min="14" max="14" width="9.5546875" style="6" bestFit="1" customWidth="1"/>
  </cols>
  <sheetData>
    <row r="1" spans="1:14" s="7" customFormat="1" ht="15.6" x14ac:dyDescent="0.3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115</v>
      </c>
      <c r="H1" s="7" t="s">
        <v>118</v>
      </c>
      <c r="I1" s="7" t="s">
        <v>119</v>
      </c>
      <c r="J1" s="7" t="s">
        <v>120</v>
      </c>
      <c r="M1" s="10"/>
    </row>
    <row r="2" spans="1:14" x14ac:dyDescent="0.3">
      <c r="A2" t="s">
        <v>23</v>
      </c>
      <c r="B2" t="s">
        <v>24</v>
      </c>
      <c r="C2" t="s">
        <v>25</v>
      </c>
      <c r="D2" s="5">
        <v>1000</v>
      </c>
      <c r="E2" s="5">
        <v>30</v>
      </c>
      <c r="F2" t="s">
        <v>26</v>
      </c>
      <c r="G2" t="str">
        <f t="shared" ref="G2:G35" si="0">IF(D2&gt;=500,"High Price",IF(D2&lt;500,"Standard Price"))</f>
        <v>High Price</v>
      </c>
      <c r="H2" s="5" t="str">
        <f>LEFT(A2,2)</f>
        <v>28</v>
      </c>
      <c r="I2" t="str">
        <f>RIGHT(A2,2)</f>
        <v>US</v>
      </c>
      <c r="J2" t="str">
        <f>MID(A2,4,3)</f>
        <v>JAN</v>
      </c>
    </row>
    <row r="3" spans="1:14" x14ac:dyDescent="0.3">
      <c r="A3" t="s">
        <v>27</v>
      </c>
      <c r="B3" t="s">
        <v>28</v>
      </c>
      <c r="C3" t="s">
        <v>29</v>
      </c>
      <c r="D3" s="5">
        <v>80</v>
      </c>
      <c r="E3" s="5">
        <v>15</v>
      </c>
      <c r="F3" t="s">
        <v>30</v>
      </c>
      <c r="G3" t="str">
        <f t="shared" si="0"/>
        <v>Standard Price</v>
      </c>
      <c r="H3" s="5" t="str">
        <f>LEFT(A3,2)</f>
        <v>15</v>
      </c>
      <c r="I3" t="str">
        <f>RIGHT(A3,2)</f>
        <v>US</v>
      </c>
      <c r="J3" t="str">
        <f t="shared" ref="J3:J35" si="1">MID(A3,4,3)</f>
        <v>FEB</v>
      </c>
    </row>
    <row r="4" spans="1:14" x14ac:dyDescent="0.3">
      <c r="A4" t="s">
        <v>31</v>
      </c>
      <c r="B4" t="s">
        <v>32</v>
      </c>
      <c r="C4" t="s">
        <v>33</v>
      </c>
      <c r="D4" s="5">
        <v>130</v>
      </c>
      <c r="E4" s="5">
        <v>40</v>
      </c>
      <c r="F4" t="s">
        <v>34</v>
      </c>
      <c r="G4" t="str">
        <f t="shared" si="0"/>
        <v>Standard Price</v>
      </c>
      <c r="H4" s="5" t="str">
        <f t="shared" ref="H4:H35" si="2">LEFT(A4,2)</f>
        <v>03</v>
      </c>
      <c r="I4" t="str">
        <f t="shared" ref="I4:I35" si="3">RIGHT(A4,2)</f>
        <v>US</v>
      </c>
      <c r="J4" t="str">
        <f t="shared" si="1"/>
        <v>MAR</v>
      </c>
    </row>
    <row r="5" spans="1:14" ht="15" thickBot="1" x14ac:dyDescent="0.35">
      <c r="A5" t="s">
        <v>35</v>
      </c>
      <c r="B5" t="s">
        <v>36</v>
      </c>
      <c r="C5" t="s">
        <v>37</v>
      </c>
      <c r="D5" s="5">
        <v>900</v>
      </c>
      <c r="E5" s="5">
        <v>25</v>
      </c>
      <c r="F5" t="s">
        <v>26</v>
      </c>
      <c r="G5" t="str">
        <f t="shared" si="0"/>
        <v>High Price</v>
      </c>
      <c r="H5" s="5" t="str">
        <f t="shared" si="2"/>
        <v>11</v>
      </c>
      <c r="I5" t="str">
        <f t="shared" si="3"/>
        <v>US</v>
      </c>
      <c r="J5" t="str">
        <f t="shared" si="1"/>
        <v>APR</v>
      </c>
    </row>
    <row r="6" spans="1:14" x14ac:dyDescent="0.3">
      <c r="A6" t="s">
        <v>38</v>
      </c>
      <c r="B6" t="s">
        <v>39</v>
      </c>
      <c r="C6" t="s">
        <v>40</v>
      </c>
      <c r="D6" s="5">
        <v>70</v>
      </c>
      <c r="E6" s="5">
        <v>20</v>
      </c>
      <c r="F6" t="s">
        <v>41</v>
      </c>
      <c r="G6" t="str">
        <f t="shared" si="0"/>
        <v>Standard Price</v>
      </c>
      <c r="H6" s="5" t="str">
        <f t="shared" si="2"/>
        <v>22</v>
      </c>
      <c r="I6" t="str">
        <f t="shared" si="3"/>
        <v>US</v>
      </c>
      <c r="J6" t="str">
        <f t="shared" si="1"/>
        <v>MAY</v>
      </c>
      <c r="M6" s="11" t="s">
        <v>110</v>
      </c>
      <c r="N6" s="12">
        <f>SUM(D2:D35)</f>
        <v>10100</v>
      </c>
    </row>
    <row r="7" spans="1:14" x14ac:dyDescent="0.3">
      <c r="A7" t="s">
        <v>42</v>
      </c>
      <c r="B7" t="s">
        <v>43</v>
      </c>
      <c r="C7" t="s">
        <v>44</v>
      </c>
      <c r="D7" s="5">
        <v>200</v>
      </c>
      <c r="E7" s="5">
        <v>45</v>
      </c>
      <c r="F7" t="s">
        <v>26</v>
      </c>
      <c r="G7" t="str">
        <f t="shared" si="0"/>
        <v>Standard Price</v>
      </c>
      <c r="H7" s="5" t="str">
        <f t="shared" si="2"/>
        <v>07</v>
      </c>
      <c r="I7" t="str">
        <f t="shared" si="3"/>
        <v>UK</v>
      </c>
      <c r="J7" t="str">
        <f t="shared" si="1"/>
        <v>JUN</v>
      </c>
      <c r="M7" s="8"/>
      <c r="N7" s="9"/>
    </row>
    <row r="8" spans="1:14" x14ac:dyDescent="0.3">
      <c r="A8" t="s">
        <v>45</v>
      </c>
      <c r="B8" t="s">
        <v>46</v>
      </c>
      <c r="C8" t="s">
        <v>47</v>
      </c>
      <c r="D8" s="5">
        <v>30</v>
      </c>
      <c r="E8" s="5">
        <v>5</v>
      </c>
      <c r="F8" t="s">
        <v>30</v>
      </c>
      <c r="G8" t="str">
        <f t="shared" si="0"/>
        <v>Standard Price</v>
      </c>
      <c r="H8" s="5" t="str">
        <f t="shared" si="2"/>
        <v>19</v>
      </c>
      <c r="I8" t="str">
        <f t="shared" si="3"/>
        <v>UK</v>
      </c>
      <c r="J8" t="str">
        <f t="shared" si="1"/>
        <v>JUL</v>
      </c>
      <c r="M8" s="13" t="s">
        <v>111</v>
      </c>
      <c r="N8" s="14">
        <f>COUNT(E2:E35)</f>
        <v>34</v>
      </c>
    </row>
    <row r="9" spans="1:14" x14ac:dyDescent="0.3">
      <c r="A9" t="s">
        <v>48</v>
      </c>
      <c r="B9" t="s">
        <v>49</v>
      </c>
      <c r="C9" t="s">
        <v>50</v>
      </c>
      <c r="D9" s="5">
        <v>90</v>
      </c>
      <c r="E9" s="5">
        <v>35</v>
      </c>
      <c r="F9" t="s">
        <v>34</v>
      </c>
      <c r="G9" t="str">
        <f t="shared" si="0"/>
        <v>Standard Price</v>
      </c>
      <c r="H9" s="5" t="str">
        <f t="shared" si="2"/>
        <v>23</v>
      </c>
      <c r="I9" t="str">
        <f t="shared" si="3"/>
        <v>UK</v>
      </c>
      <c r="J9" t="str">
        <f t="shared" si="1"/>
        <v>AUG</v>
      </c>
      <c r="M9" s="8"/>
      <c r="N9" s="9"/>
    </row>
    <row r="10" spans="1:14" ht="15" thickBot="1" x14ac:dyDescent="0.35">
      <c r="A10" t="s">
        <v>51</v>
      </c>
      <c r="B10" t="s">
        <v>52</v>
      </c>
      <c r="C10" t="s">
        <v>53</v>
      </c>
      <c r="D10" s="5">
        <v>500</v>
      </c>
      <c r="E10" s="5">
        <v>50</v>
      </c>
      <c r="F10" t="s">
        <v>26</v>
      </c>
      <c r="G10" t="str">
        <f t="shared" si="0"/>
        <v>High Price</v>
      </c>
      <c r="H10" s="5" t="str">
        <f t="shared" si="2"/>
        <v>05</v>
      </c>
      <c r="I10" t="str">
        <f t="shared" si="3"/>
        <v>UK</v>
      </c>
      <c r="J10" t="str">
        <f t="shared" si="1"/>
        <v>SEP</v>
      </c>
      <c r="M10" s="15" t="s">
        <v>112</v>
      </c>
      <c r="N10" s="16">
        <f>AVERAGE(D2:D35)</f>
        <v>297.05882352941177</v>
      </c>
    </row>
    <row r="11" spans="1:14" x14ac:dyDescent="0.3">
      <c r="A11" t="s">
        <v>54</v>
      </c>
      <c r="B11" t="s">
        <v>55</v>
      </c>
      <c r="C11" t="s">
        <v>56</v>
      </c>
      <c r="D11" s="5">
        <v>130</v>
      </c>
      <c r="E11" s="5">
        <v>10</v>
      </c>
      <c r="F11" t="s">
        <v>41</v>
      </c>
      <c r="G11" t="str">
        <f t="shared" si="0"/>
        <v>Standard Price</v>
      </c>
      <c r="H11" s="5" t="str">
        <f t="shared" si="2"/>
        <v>14</v>
      </c>
      <c r="I11" t="str">
        <f t="shared" si="3"/>
        <v>UK</v>
      </c>
      <c r="J11" t="str">
        <f t="shared" si="1"/>
        <v>OCT</v>
      </c>
    </row>
    <row r="12" spans="1:14" ht="15" thickBot="1" x14ac:dyDescent="0.35">
      <c r="A12" t="s">
        <v>57</v>
      </c>
      <c r="B12" t="s">
        <v>24</v>
      </c>
      <c r="C12" t="s">
        <v>58</v>
      </c>
      <c r="D12" s="5">
        <v>950</v>
      </c>
      <c r="E12" s="5">
        <v>25</v>
      </c>
      <c r="F12" t="s">
        <v>26</v>
      </c>
      <c r="G12" t="str">
        <f t="shared" si="0"/>
        <v>High Price</v>
      </c>
      <c r="H12" s="5" t="str">
        <f t="shared" si="2"/>
        <v>17</v>
      </c>
      <c r="I12" t="str">
        <f t="shared" si="3"/>
        <v>IN</v>
      </c>
      <c r="J12" t="str">
        <f t="shared" si="1"/>
        <v>JUN</v>
      </c>
    </row>
    <row r="13" spans="1:14" x14ac:dyDescent="0.3">
      <c r="A13" t="s">
        <v>59</v>
      </c>
      <c r="B13" t="s">
        <v>28</v>
      </c>
      <c r="C13" t="s">
        <v>47</v>
      </c>
      <c r="D13" s="5">
        <v>90</v>
      </c>
      <c r="E13" s="5">
        <v>40</v>
      </c>
      <c r="F13" t="s">
        <v>30</v>
      </c>
      <c r="G13" t="str">
        <f t="shared" si="0"/>
        <v>Standard Price</v>
      </c>
      <c r="H13" s="5" t="str">
        <f t="shared" si="2"/>
        <v>25</v>
      </c>
      <c r="I13" t="str">
        <f t="shared" si="3"/>
        <v>AU</v>
      </c>
      <c r="J13" t="str">
        <f t="shared" si="1"/>
        <v>NOV</v>
      </c>
      <c r="M13" s="11" t="s">
        <v>113</v>
      </c>
      <c r="N13" s="12">
        <f>MIN(D2:D35)</f>
        <v>30</v>
      </c>
    </row>
    <row r="14" spans="1:14" x14ac:dyDescent="0.3">
      <c r="A14" t="s">
        <v>60</v>
      </c>
      <c r="B14" t="s">
        <v>32</v>
      </c>
      <c r="C14" t="s">
        <v>61</v>
      </c>
      <c r="D14" s="5">
        <v>120</v>
      </c>
      <c r="E14" s="5">
        <v>35</v>
      </c>
      <c r="F14" t="s">
        <v>34</v>
      </c>
      <c r="G14" t="str">
        <f t="shared" si="0"/>
        <v>Standard Price</v>
      </c>
      <c r="H14" s="5" t="str">
        <f t="shared" si="2"/>
        <v>08</v>
      </c>
      <c r="I14" t="str">
        <f t="shared" si="3"/>
        <v>DE</v>
      </c>
      <c r="J14" t="str">
        <f t="shared" si="1"/>
        <v>DEC</v>
      </c>
      <c r="M14" s="8"/>
      <c r="N14" s="9"/>
    </row>
    <row r="15" spans="1:14" ht="15" thickBot="1" x14ac:dyDescent="0.35">
      <c r="A15" t="s">
        <v>62</v>
      </c>
      <c r="B15" t="s">
        <v>63</v>
      </c>
      <c r="C15" t="s">
        <v>64</v>
      </c>
      <c r="D15" s="5">
        <v>150</v>
      </c>
      <c r="E15" s="5">
        <v>15</v>
      </c>
      <c r="F15" t="s">
        <v>26</v>
      </c>
      <c r="G15" t="str">
        <f t="shared" si="0"/>
        <v>Standard Price</v>
      </c>
      <c r="H15" s="5" t="str">
        <f t="shared" si="2"/>
        <v>18</v>
      </c>
      <c r="I15" t="str">
        <f t="shared" si="3"/>
        <v>CA</v>
      </c>
      <c r="J15" t="str">
        <f t="shared" si="1"/>
        <v>FEB</v>
      </c>
      <c r="M15" s="15" t="s">
        <v>114</v>
      </c>
      <c r="N15" s="17">
        <f>MAX(D2:D35)</f>
        <v>1000</v>
      </c>
    </row>
    <row r="16" spans="1:14" x14ac:dyDescent="0.3">
      <c r="A16" t="s">
        <v>65</v>
      </c>
      <c r="B16" t="s">
        <v>43</v>
      </c>
      <c r="C16" t="s">
        <v>66</v>
      </c>
      <c r="D16" s="5">
        <v>250</v>
      </c>
      <c r="E16" s="5">
        <v>20</v>
      </c>
      <c r="F16" t="s">
        <v>26</v>
      </c>
      <c r="G16" t="str">
        <f t="shared" si="0"/>
        <v>Standard Price</v>
      </c>
      <c r="H16" s="5" t="str">
        <f t="shared" si="2"/>
        <v>16</v>
      </c>
      <c r="I16" t="str">
        <f t="shared" si="3"/>
        <v>ES</v>
      </c>
      <c r="J16" t="str">
        <f t="shared" si="1"/>
        <v>APR</v>
      </c>
    </row>
    <row r="17" spans="1:14" ht="15" thickBot="1" x14ac:dyDescent="0.35">
      <c r="A17" t="s">
        <v>67</v>
      </c>
      <c r="B17" t="s">
        <v>68</v>
      </c>
      <c r="C17" t="s">
        <v>69</v>
      </c>
      <c r="D17" s="5">
        <v>50</v>
      </c>
      <c r="E17" s="5">
        <v>35</v>
      </c>
      <c r="F17" t="s">
        <v>70</v>
      </c>
      <c r="G17" t="str">
        <f t="shared" si="0"/>
        <v>Standard Price</v>
      </c>
      <c r="H17" s="5" t="str">
        <f t="shared" si="2"/>
        <v>21</v>
      </c>
      <c r="I17" t="str">
        <f t="shared" si="3"/>
        <v>CA</v>
      </c>
      <c r="J17" t="str">
        <f t="shared" si="1"/>
        <v>AUG</v>
      </c>
    </row>
    <row r="18" spans="1:14" x14ac:dyDescent="0.3">
      <c r="A18" t="s">
        <v>71</v>
      </c>
      <c r="B18" t="s">
        <v>63</v>
      </c>
      <c r="C18" t="s">
        <v>72</v>
      </c>
      <c r="D18" s="5">
        <v>160</v>
      </c>
      <c r="E18" s="5">
        <v>15</v>
      </c>
      <c r="F18" t="s">
        <v>26</v>
      </c>
      <c r="G18" t="str">
        <f t="shared" si="0"/>
        <v>Standard Price</v>
      </c>
      <c r="H18" s="5" t="str">
        <f t="shared" si="2"/>
        <v>20</v>
      </c>
      <c r="I18" t="str">
        <f t="shared" si="3"/>
        <v>CN</v>
      </c>
      <c r="J18" t="str">
        <f t="shared" si="1"/>
        <v>AUG</v>
      </c>
      <c r="M18" s="11" t="s">
        <v>116</v>
      </c>
      <c r="N18" s="12">
        <f>SUMIF(F2:F35,"Electronics",D2:D35)</f>
        <v>8050</v>
      </c>
    </row>
    <row r="19" spans="1:14" x14ac:dyDescent="0.3">
      <c r="A19" t="s">
        <v>73</v>
      </c>
      <c r="B19" t="s">
        <v>24</v>
      </c>
      <c r="C19" t="s">
        <v>74</v>
      </c>
      <c r="D19" s="5">
        <v>980</v>
      </c>
      <c r="E19" s="5">
        <v>10</v>
      </c>
      <c r="F19" t="s">
        <v>26</v>
      </c>
      <c r="G19" t="str">
        <f t="shared" si="0"/>
        <v>High Price</v>
      </c>
      <c r="H19" s="5" t="str">
        <f t="shared" si="2"/>
        <v>27</v>
      </c>
      <c r="I19" t="str">
        <f t="shared" si="3"/>
        <v>IT</v>
      </c>
      <c r="J19" t="str">
        <f t="shared" si="1"/>
        <v>JAN</v>
      </c>
      <c r="M19" s="8"/>
      <c r="N19" s="9"/>
    </row>
    <row r="20" spans="1:14" ht="15" thickBot="1" x14ac:dyDescent="0.35">
      <c r="A20" t="s">
        <v>75</v>
      </c>
      <c r="B20" t="s">
        <v>76</v>
      </c>
      <c r="C20" t="s">
        <v>77</v>
      </c>
      <c r="D20" s="5">
        <v>150</v>
      </c>
      <c r="E20" s="5">
        <v>15</v>
      </c>
      <c r="F20" t="s">
        <v>30</v>
      </c>
      <c r="G20" t="str">
        <f t="shared" si="0"/>
        <v>Standard Price</v>
      </c>
      <c r="H20" s="5" t="str">
        <f t="shared" si="2"/>
        <v>01</v>
      </c>
      <c r="I20" t="str">
        <f t="shared" si="3"/>
        <v>UK</v>
      </c>
      <c r="J20" t="str">
        <f t="shared" si="1"/>
        <v>MAR</v>
      </c>
      <c r="M20" s="15" t="s">
        <v>117</v>
      </c>
      <c r="N20" s="17">
        <f>COUNTIF(D2:D35,"&lt;100")</f>
        <v>11</v>
      </c>
    </row>
    <row r="21" spans="1:14" x14ac:dyDescent="0.3">
      <c r="A21" t="s">
        <v>78</v>
      </c>
      <c r="B21" t="s">
        <v>79</v>
      </c>
      <c r="C21" t="s">
        <v>80</v>
      </c>
      <c r="D21" s="5">
        <v>200</v>
      </c>
      <c r="E21" s="5">
        <v>10</v>
      </c>
      <c r="F21" t="s">
        <v>41</v>
      </c>
      <c r="G21" t="str">
        <f t="shared" si="0"/>
        <v>Standard Price</v>
      </c>
      <c r="H21" s="5" t="str">
        <f t="shared" si="2"/>
        <v>14</v>
      </c>
      <c r="I21" t="str">
        <f t="shared" si="3"/>
        <v>US</v>
      </c>
      <c r="J21" t="str">
        <f t="shared" si="1"/>
        <v>AUG</v>
      </c>
    </row>
    <row r="22" spans="1:14" x14ac:dyDescent="0.3">
      <c r="A22" t="s">
        <v>81</v>
      </c>
      <c r="B22" t="s">
        <v>82</v>
      </c>
      <c r="C22" t="s">
        <v>83</v>
      </c>
      <c r="D22" s="5">
        <v>700</v>
      </c>
      <c r="E22" s="5">
        <v>50</v>
      </c>
      <c r="F22" t="s">
        <v>26</v>
      </c>
      <c r="G22" t="str">
        <f t="shared" si="0"/>
        <v>High Price</v>
      </c>
      <c r="H22" s="5" t="str">
        <f t="shared" si="2"/>
        <v>14</v>
      </c>
      <c r="I22" t="str">
        <f t="shared" si="3"/>
        <v>RU</v>
      </c>
      <c r="J22" t="str">
        <f t="shared" si="1"/>
        <v>MAY</v>
      </c>
    </row>
    <row r="23" spans="1:14" x14ac:dyDescent="0.3">
      <c r="A23" t="s">
        <v>84</v>
      </c>
      <c r="B23" t="s">
        <v>85</v>
      </c>
      <c r="C23" t="s">
        <v>86</v>
      </c>
      <c r="D23" s="5">
        <v>80</v>
      </c>
      <c r="E23" s="5">
        <v>20</v>
      </c>
      <c r="F23" t="s">
        <v>34</v>
      </c>
      <c r="G23" t="str">
        <f t="shared" si="0"/>
        <v>Standard Price</v>
      </c>
      <c r="H23" s="5" t="str">
        <f t="shared" si="2"/>
        <v>09</v>
      </c>
      <c r="I23" t="str">
        <f t="shared" si="3"/>
        <v>CA</v>
      </c>
      <c r="J23" t="str">
        <f t="shared" si="1"/>
        <v>JAN</v>
      </c>
    </row>
    <row r="24" spans="1:14" x14ac:dyDescent="0.3">
      <c r="A24" t="s">
        <v>87</v>
      </c>
      <c r="B24" t="s">
        <v>88</v>
      </c>
      <c r="C24" t="s">
        <v>89</v>
      </c>
      <c r="D24" s="5">
        <v>150</v>
      </c>
      <c r="E24" s="5">
        <v>30</v>
      </c>
      <c r="F24" t="s">
        <v>26</v>
      </c>
      <c r="G24" t="str">
        <f t="shared" si="0"/>
        <v>Standard Price</v>
      </c>
      <c r="H24" s="5" t="str">
        <f t="shared" si="2"/>
        <v>19</v>
      </c>
      <c r="I24" t="str">
        <f t="shared" si="3"/>
        <v>BR</v>
      </c>
      <c r="J24" t="str">
        <f t="shared" si="1"/>
        <v>JUL</v>
      </c>
    </row>
    <row r="25" spans="1:14" x14ac:dyDescent="0.3">
      <c r="A25" t="s">
        <v>67</v>
      </c>
      <c r="B25" t="s">
        <v>68</v>
      </c>
      <c r="C25" t="s">
        <v>69</v>
      </c>
      <c r="D25" s="5">
        <v>50</v>
      </c>
      <c r="E25" s="5">
        <v>35</v>
      </c>
      <c r="F25" t="s">
        <v>70</v>
      </c>
      <c r="G25" t="str">
        <f t="shared" si="0"/>
        <v>Standard Price</v>
      </c>
      <c r="H25" s="5" t="str">
        <f t="shared" si="2"/>
        <v>21</v>
      </c>
      <c r="I25" t="str">
        <f t="shared" si="3"/>
        <v>CA</v>
      </c>
      <c r="J25" t="str">
        <f t="shared" si="1"/>
        <v>AUG</v>
      </c>
    </row>
    <row r="26" spans="1:14" x14ac:dyDescent="0.3">
      <c r="A26" t="s">
        <v>90</v>
      </c>
      <c r="B26" t="s">
        <v>36</v>
      </c>
      <c r="C26" t="s">
        <v>91</v>
      </c>
      <c r="D26" s="5">
        <v>800</v>
      </c>
      <c r="E26" s="5">
        <v>45</v>
      </c>
      <c r="F26" t="s">
        <v>26</v>
      </c>
      <c r="G26" t="str">
        <f t="shared" si="0"/>
        <v>High Price</v>
      </c>
      <c r="H26" s="5" t="str">
        <f t="shared" si="2"/>
        <v>29</v>
      </c>
      <c r="I26" t="str">
        <f t="shared" si="3"/>
        <v>CA</v>
      </c>
      <c r="J26" t="str">
        <f t="shared" si="1"/>
        <v>SEP</v>
      </c>
    </row>
    <row r="27" spans="1:14" x14ac:dyDescent="0.3">
      <c r="A27" t="s">
        <v>92</v>
      </c>
      <c r="B27" t="s">
        <v>76</v>
      </c>
      <c r="C27" t="s">
        <v>93</v>
      </c>
      <c r="D27" s="5">
        <v>130</v>
      </c>
      <c r="E27" s="5">
        <v>25</v>
      </c>
      <c r="F27" t="s">
        <v>30</v>
      </c>
      <c r="G27" t="str">
        <f t="shared" si="0"/>
        <v>Standard Price</v>
      </c>
      <c r="H27" s="5" t="str">
        <f t="shared" si="2"/>
        <v>03</v>
      </c>
      <c r="I27" t="str">
        <f t="shared" si="3"/>
        <v>CA</v>
      </c>
      <c r="J27" t="str">
        <f t="shared" si="1"/>
        <v>JUN</v>
      </c>
    </row>
    <row r="28" spans="1:14" x14ac:dyDescent="0.3">
      <c r="A28" t="s">
        <v>94</v>
      </c>
      <c r="B28" t="s">
        <v>49</v>
      </c>
      <c r="C28" t="s">
        <v>95</v>
      </c>
      <c r="D28" s="5">
        <v>400</v>
      </c>
      <c r="E28" s="5">
        <v>40</v>
      </c>
      <c r="F28" t="s">
        <v>34</v>
      </c>
      <c r="G28" t="str">
        <f t="shared" si="0"/>
        <v>Standard Price</v>
      </c>
      <c r="H28" s="5" t="str">
        <f t="shared" si="2"/>
        <v>11</v>
      </c>
      <c r="I28" t="str">
        <f t="shared" si="3"/>
        <v>CA</v>
      </c>
      <c r="J28" t="str">
        <f t="shared" si="1"/>
        <v>JUL</v>
      </c>
    </row>
    <row r="29" spans="1:14" x14ac:dyDescent="0.3">
      <c r="A29" t="s">
        <v>65</v>
      </c>
      <c r="B29" t="s">
        <v>43</v>
      </c>
      <c r="C29" t="s">
        <v>66</v>
      </c>
      <c r="D29" s="5">
        <v>230</v>
      </c>
      <c r="E29" s="5">
        <v>20</v>
      </c>
      <c r="F29" t="s">
        <v>26</v>
      </c>
      <c r="G29" t="str">
        <f t="shared" si="0"/>
        <v>Standard Price</v>
      </c>
      <c r="H29" s="5" t="str">
        <f t="shared" si="2"/>
        <v>16</v>
      </c>
      <c r="I29" t="str">
        <f t="shared" si="3"/>
        <v>ES</v>
      </c>
      <c r="J29" t="str">
        <f t="shared" si="1"/>
        <v>APR</v>
      </c>
    </row>
    <row r="30" spans="1:14" x14ac:dyDescent="0.3">
      <c r="A30" t="s">
        <v>96</v>
      </c>
      <c r="B30" t="s">
        <v>97</v>
      </c>
      <c r="C30" t="s">
        <v>98</v>
      </c>
      <c r="D30" s="5">
        <v>60</v>
      </c>
      <c r="E30" s="5">
        <v>30</v>
      </c>
      <c r="F30" t="s">
        <v>30</v>
      </c>
      <c r="G30" t="str">
        <f t="shared" si="0"/>
        <v>Standard Price</v>
      </c>
      <c r="H30" s="5" t="str">
        <f t="shared" si="2"/>
        <v>07</v>
      </c>
      <c r="I30" t="str">
        <f t="shared" si="3"/>
        <v>CA</v>
      </c>
      <c r="J30" t="str">
        <f t="shared" si="1"/>
        <v>MAR</v>
      </c>
    </row>
    <row r="31" spans="1:14" x14ac:dyDescent="0.3">
      <c r="A31" t="s">
        <v>99</v>
      </c>
      <c r="B31" t="s">
        <v>100</v>
      </c>
      <c r="C31" t="s">
        <v>101</v>
      </c>
      <c r="D31" s="5">
        <v>40</v>
      </c>
      <c r="E31" s="5">
        <v>10</v>
      </c>
      <c r="F31" t="s">
        <v>34</v>
      </c>
      <c r="G31" t="str">
        <f t="shared" si="0"/>
        <v>Standard Price</v>
      </c>
      <c r="H31" s="5" t="str">
        <f t="shared" si="2"/>
        <v>13</v>
      </c>
      <c r="I31" t="str">
        <f t="shared" si="3"/>
        <v>CA</v>
      </c>
      <c r="J31" t="str">
        <f t="shared" si="1"/>
        <v>APR</v>
      </c>
    </row>
    <row r="32" spans="1:14" x14ac:dyDescent="0.3">
      <c r="A32" t="s">
        <v>102</v>
      </c>
      <c r="B32" t="s">
        <v>88</v>
      </c>
      <c r="C32" t="s">
        <v>103</v>
      </c>
      <c r="D32" s="5">
        <v>130</v>
      </c>
      <c r="E32" s="5">
        <v>5</v>
      </c>
      <c r="F32" t="s">
        <v>26</v>
      </c>
      <c r="G32" t="str">
        <f t="shared" si="0"/>
        <v>Standard Price</v>
      </c>
      <c r="H32" s="5" t="str">
        <f t="shared" si="2"/>
        <v>24</v>
      </c>
      <c r="I32" t="str">
        <f t="shared" si="3"/>
        <v>CA</v>
      </c>
      <c r="J32" t="str">
        <f t="shared" si="1"/>
        <v>MAY</v>
      </c>
    </row>
    <row r="33" spans="1:10" x14ac:dyDescent="0.3">
      <c r="A33" t="s">
        <v>104</v>
      </c>
      <c r="B33" t="s">
        <v>105</v>
      </c>
      <c r="C33" t="s">
        <v>106</v>
      </c>
      <c r="D33" s="5">
        <v>50</v>
      </c>
      <c r="E33" s="5">
        <v>50</v>
      </c>
      <c r="F33" t="s">
        <v>30</v>
      </c>
      <c r="G33" t="str">
        <f t="shared" si="0"/>
        <v>Standard Price</v>
      </c>
      <c r="H33" s="5" t="str">
        <f t="shared" si="2"/>
        <v>02</v>
      </c>
      <c r="I33" t="str">
        <f t="shared" si="3"/>
        <v>CA</v>
      </c>
      <c r="J33" t="str">
        <f t="shared" si="1"/>
        <v>DEC</v>
      </c>
    </row>
    <row r="34" spans="1:10" x14ac:dyDescent="0.3">
      <c r="A34" t="s">
        <v>57</v>
      </c>
      <c r="B34" t="s">
        <v>24</v>
      </c>
      <c r="C34" t="s">
        <v>58</v>
      </c>
      <c r="D34" s="5">
        <v>950</v>
      </c>
      <c r="E34" s="5">
        <v>25</v>
      </c>
      <c r="F34" t="s">
        <v>26</v>
      </c>
      <c r="G34" t="str">
        <f t="shared" si="0"/>
        <v>High Price</v>
      </c>
      <c r="H34" s="5" t="str">
        <f t="shared" si="2"/>
        <v>17</v>
      </c>
      <c r="I34" t="str">
        <f t="shared" si="3"/>
        <v>IN</v>
      </c>
      <c r="J34" t="str">
        <f t="shared" si="1"/>
        <v>JUN</v>
      </c>
    </row>
    <row r="35" spans="1:10" x14ac:dyDescent="0.3">
      <c r="A35" t="s">
        <v>107</v>
      </c>
      <c r="B35" t="s">
        <v>108</v>
      </c>
      <c r="C35" t="s">
        <v>109</v>
      </c>
      <c r="D35" s="5">
        <v>100</v>
      </c>
      <c r="E35" s="5">
        <v>20</v>
      </c>
      <c r="F35" t="s">
        <v>70</v>
      </c>
      <c r="G35" t="str">
        <f t="shared" si="0"/>
        <v>Standard Price</v>
      </c>
      <c r="H35" s="5" t="str">
        <f t="shared" si="2"/>
        <v>09</v>
      </c>
      <c r="I35" t="str">
        <f t="shared" si="3"/>
        <v>FR</v>
      </c>
      <c r="J35" t="str">
        <f t="shared" si="1"/>
        <v>JUL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Dhivya Kothandaraman</dc:creator>
  <cp:lastModifiedBy>Dhivya Kothandaraman</cp:lastModifiedBy>
  <dcterms:created xsi:type="dcterms:W3CDTF">2026-01-19T11:15:04Z</dcterms:created>
  <dcterms:modified xsi:type="dcterms:W3CDTF">2026-01-19T16:30:29Z</dcterms:modified>
</cp:coreProperties>
</file>